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Facts" sheetId="1" r:id="rId5"/>
    <sheet state="visible" name="Business &amp; Finance Facts" sheetId="2" r:id="rId6"/>
  </sheets>
  <definedNames>
    <definedName hidden="1" localSheetId="1" name="_xlnm._FilterDatabase">'Business &amp; Finance Facts'!$A$4:$G$35</definedName>
  </definedNames>
  <calcPr/>
</workbook>
</file>

<file path=xl/sharedStrings.xml><?xml version="1.0" encoding="utf-8"?>
<sst xmlns="http://schemas.openxmlformats.org/spreadsheetml/2006/main" count="248" uniqueCount="154">
  <si>
    <t>PRODUCT FACTS PUNCH LIST — WHAT THE PLAN STILL DOESN'T SAY</t>
  </si>
  <si>
    <t>BUSINESS &amp; FINANCE FACTS PUNCH LIST</t>
  </si>
  <si>
    <t>The brief names candidate products but never specifies them. One row per SKU — fill every yellow cell. A SKU is launch-eligible only when its entire row is complete. Blue row = worked example (delete before use).</t>
  </si>
  <si>
    <t>Every number and fact the business runs on. Grey = what the brief already says; yellow = the answer that still has to come from you.</t>
  </si>
  <si>
    <t>#</t>
  </si>
  <si>
    <t>Area</t>
  </si>
  <si>
    <t>Working Name (from brief)</t>
  </si>
  <si>
    <t>Fact / Number Needed</t>
  </si>
  <si>
    <t>Sector</t>
  </si>
  <si>
    <t>What the Brief Says (if anything)</t>
  </si>
  <si>
    <t>Form Factor</t>
  </si>
  <si>
    <t>Your Answer</t>
  </si>
  <si>
    <t>Active Ingredient(s)</t>
  </si>
  <si>
    <t>Owner</t>
  </si>
  <si>
    <t>Dose per Serving (mg)</t>
  </si>
  <si>
    <t>Needed By</t>
  </si>
  <si>
    <t>Servings per Container</t>
  </si>
  <si>
    <t>Delivery Tech (DeeperGreen Y/N)</t>
  </si>
  <si>
    <t>Supplier / Manufacturer</t>
  </si>
  <si>
    <t>Company &amp; People</t>
  </si>
  <si>
    <t>MOQ / Lead Time</t>
  </si>
  <si>
    <t>Legal entity name, state, and structure (LLC/C-corp); merchant of record</t>
  </si>
  <si>
    <t>Shelf Life</t>
  </si>
  <si>
    <t>Entity confirmation is a checklist item; no entity named</t>
  </si>
  <si>
    <t>COA Status</t>
  </si>
  <si>
    <t>Landed COGS ($)</t>
  </si>
  <si>
    <t>Retail Price ($)</t>
  </si>
  <si>
    <t>Subscription Price ($)</t>
  </si>
  <si>
    <t>Founder</t>
  </si>
  <si>
    <t>Gross Margin %</t>
  </si>
  <si>
    <t>Before G1</t>
  </si>
  <si>
    <t>Legal Lane (Clean / Restricted)</t>
  </si>
  <si>
    <t>Hemp-Ban Exposure (Y/N)</t>
  </si>
  <si>
    <t>Launch Phase (1/2)</t>
  </si>
  <si>
    <t>Ownership / cap table — who owns what % of GF Tech One</t>
  </si>
  <si>
    <t>Not addressed</t>
  </si>
  <si>
    <t>EX</t>
  </si>
  <si>
    <t>Before G0</t>
  </si>
  <si>
    <t>Relationship &amp; compensation between GF Tech One, Mark Rhodes, and Horsepower (IP ownership of formulas, royalty or equity?)</t>
  </si>
  <si>
    <t>Not addressed — key-man risk noted but no agreement described</t>
  </si>
  <si>
    <t>Founder / Legal</t>
  </si>
  <si>
    <t>(Example) MB Fizz 30ct</t>
  </si>
  <si>
    <t>Mind &amp; Energy</t>
  </si>
  <si>
    <t>Drink / fizz</t>
  </si>
  <si>
    <t>Methylene blue (USP)</t>
  </si>
  <si>
    <t>Named operator + weekly hours committed</t>
  </si>
  <si>
    <t>10 mg</t>
  </si>
  <si>
    <t>Not addressed (~1 hr/wk marketing only)</t>
  </si>
  <si>
    <t>30</t>
  </si>
  <si>
    <t>Y</t>
  </si>
  <si>
    <t>Rhodes Lab, Auburn CA</t>
  </si>
  <si>
    <t>500 units / 4 wks</t>
  </si>
  <si>
    <t>24 mo</t>
  </si>
  <si>
    <t>Who is the claims-review owner (name)</t>
  </si>
  <si>
    <t>Batch COA on file</t>
  </si>
  <si>
    <t>Role defined, person not named</t>
  </si>
  <si>
    <t>Before G2</t>
  </si>
  <si>
    <t>Capital &amp; Runway</t>
  </si>
  <si>
    <t>Total startup capital available ($)</t>
  </si>
  <si>
    <t>Not stated anywhere</t>
  </si>
  <si>
    <t>Source of capital (self-funded / investors / GFTO balance sheet)</t>
  </si>
  <si>
    <t>Not stated</t>
  </si>
  <si>
    <t>Monthly burn rate pre-revenue (stack + people + insurance + misc)</t>
  </si>
  <si>
    <t>Stack only: ~$95–105/mo Gate 0; people/insurance excluded</t>
  </si>
  <si>
    <t>Finance</t>
  </si>
  <si>
    <t>Clean</t>
  </si>
  <si>
    <t>N</t>
  </si>
  <si>
    <t>1</t>
  </si>
  <si>
    <t>LEUCO MB Fizz</t>
  </si>
  <si>
    <t>Methylene blue</t>
  </si>
  <si>
    <t>Runway in months at that burn</t>
  </si>
  <si>
    <t>MB-C</t>
  </si>
  <si>
    <t>Inventory capital for first production run (sum of MOQ x COGS from Product Facts sheet)</t>
  </si>
  <si>
    <t>TBD</t>
  </si>
  <si>
    <t>Not stated — no MOQs or COGS anywhere</t>
  </si>
  <si>
    <t>Budgets</t>
  </si>
  <si>
    <t>Build budget: site, apps, photography, legal review ($)</t>
  </si>
  <si>
    <t>Required at G1; amount never stated</t>
  </si>
  <si>
    <t>G1</t>
  </si>
  <si>
    <t>Customer-acquisition test budget ($ total and $/day for G4)</t>
  </si>
  <si>
    <t>Required at G1/G4; amount never stated</t>
  </si>
  <si>
    <t>MB-CL</t>
  </si>
  <si>
    <t>Marketing budget pre-launch (4-week engine: lead magnets, influencer seeding product cost, affiliate kit)</t>
  </si>
  <si>
    <t>Play described; no dollar figure</t>
  </si>
  <si>
    <t>Marketing</t>
  </si>
  <si>
    <t>Pre-launch</t>
  </si>
  <si>
    <t>Photography budget ($ per SKU or total)</t>
  </si>
  <si>
    <t>'In hand or shoot scheduled' — no budget</t>
  </si>
  <si>
    <t>G0</t>
  </si>
  <si>
    <t>Legal/regulatory budget (hemp-ban rulings, MB opinion, label review)</t>
  </si>
  <si>
    <t>Product liability insurance premium ($/yr)</t>
  </si>
  <si>
    <t>Required; cost never estimated</t>
  </si>
  <si>
    <t>Before G3</t>
  </si>
  <si>
    <t>Pricing &amp; Unit Economics</t>
  </si>
  <si>
    <t>Trypt.co</t>
  </si>
  <si>
    <t>Confirmed price ladder per SKU (brief's $44.95/$34.95 is 'the proven ladder' — proven where? source data?)</t>
  </si>
  <si>
    <t>Rest &amp; Calm</t>
  </si>
  <si>
    <t>~$44.95 one-time / ~$34.95 subscribe, ~22% discount</t>
  </si>
  <si>
    <t>L-tryptophan</t>
  </si>
  <si>
    <t>CAC ceiling ($) — computed from real COGS and margin</t>
  </si>
  <si>
    <t>Formula described; number requires COGS you haven't provided</t>
  </si>
  <si>
    <t>Before G4</t>
  </si>
  <si>
    <t>Margin floor (%) below which a SKU doesn't launch</t>
  </si>
  <si>
    <t>Concept defined; number not set</t>
  </si>
  <si>
    <t>Kava product (unnamed)</t>
  </si>
  <si>
    <t>Kava (kavalactones)</t>
  </si>
  <si>
    <t>Evidence for the 5-month average subscriber retention assumption (drives the 4x LTV claim)</t>
  </si>
  <si>
    <t>Asserted without source</t>
  </si>
  <si>
    <t>Bundle pricing ('Full Night', '24-Hour Stack') and margin at bundle discount</t>
  </si>
  <si>
    <t>Bundles named; prices not set</t>
  </si>
  <si>
    <t>Shipping cost per order + free-shipping threshold policy</t>
  </si>
  <si>
    <t>Premium dog treats</t>
  </si>
  <si>
    <t>Pet Wellness</t>
  </si>
  <si>
    <t>Treat</t>
  </si>
  <si>
    <t>Ops</t>
  </si>
  <si>
    <t>TBD — hemp-derived?</t>
  </si>
  <si>
    <t>Sample offer economics: $4.95 shipping vs. true cost of sample + fulfillment</t>
  </si>
  <si>
    <t>Offer described; unit cost not computed</t>
  </si>
  <si>
    <t>Revenue Targets</t>
  </si>
  <si>
    <t>Phase 1 revenue target ($/mo) and the number that opens the Phase 2 gate</t>
  </si>
  <si>
    <t>Gates defined by 'validation thresholds' — revenue numbers never set</t>
  </si>
  <si>
    <t>Infused sugar</t>
  </si>
  <si>
    <t>Flex / TBD</t>
  </si>
  <si>
    <t>Sugar</t>
  </si>
  <si>
    <t>TBD — cannabinoid</t>
  </si>
  <si>
    <t>Break-even month target (revenue vs. burn)</t>
  </si>
  <si>
    <t>Wholesale gate trigger ($ /mo D2C revenue or margin proof)</t>
  </si>
  <si>
    <t>'D2C unit economics proven' — undefined</t>
  </si>
  <si>
    <t>Phase 2+</t>
  </si>
  <si>
    <t>Tear packs</t>
  </si>
  <si>
    <t>Market &amp; Customers</t>
  </si>
  <si>
    <t>Warm list audit: real count, list age, consent status, last-mailed date (brief assumes ~2,000)</t>
  </si>
  <si>
    <t>Tear pack</t>
  </si>
  <si>
    <t>~2,000 contacts assumed; quality unverified</t>
  </si>
  <si>
    <t>Affiliate network audit: how many associates are real and active (brief assumes 10+ active in month one)</t>
  </si>
  <si>
    <t>Existing network asserted; size unknown</t>
  </si>
  <si>
    <t>Mark Rhodes credentials one-pager: degrees, lab history, publications, patents (feeds About Mark + E-E-A-T)</t>
  </si>
  <si>
    <t>Bio required at G0; credentials never listed</t>
  </si>
  <si>
    <t>Mark Rhodes</t>
  </si>
  <si>
    <t>Gum</t>
  </si>
  <si>
    <t>DeeperGreen technology: what it actually is, patent/IP status, and the 0.31–1.22% batch-variance data source</t>
  </si>
  <si>
    <t>Referenced throughout; never explained or evidenced</t>
  </si>
  <si>
    <t>Formulator</t>
  </si>
  <si>
    <t>Target customer demographics per sector (age, gender, income) to brief creative</t>
  </si>
  <si>
    <t>Lifestyle audiences implied (bikers, pet rescue); no demographics</t>
  </si>
  <si>
    <t>SUMMARY</t>
  </si>
  <si>
    <t>Facts needed</t>
  </si>
  <si>
    <t>(additional SKU)</t>
  </si>
  <si>
    <t>Still unanswered</t>
  </si>
  <si>
    <t>Legend:</t>
  </si>
  <si>
    <t>Fill in only the yellow "Your Answer" column. Example answer for row 6: "$150,000 — founder savings + GFTO retained earnings." The summary counts update as answers land.</t>
  </si>
  <si>
    <t>Yellow = fill in. Gross Margin % computes automatically from COGS and Retail Price. Blue example row shows expected format — delete it once real data is in.</t>
  </si>
  <si>
    <t>Source:</t>
  </si>
  <si>
    <t>Product names/sectors from Working Brief v2 (horsepower-hub.vercel.app/gfto-store). All other values must come from the founder/formulator — none are stated anywhere in the brief.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</si>
</sst>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$#,##0.00"/>
  </numFmts>
  <fonts count="8">
    <font>
      <sz val="11.0"/>
      <color theme="1"/>
      <name val="Calibri"/>
      <scheme val="minor"/>
    </font>
    <font>
      <b/>
      <sz val="13.0"/>
      <color rgb="FF1A2744"/>
      <name val="Arial"/>
    </font>
    <font>
      <i/>
      <sz val="9.0"/>
      <color rgb="FF5A6472"/>
      <name val="Arial"/>
    </font>
    <font>
      <b/>
      <sz val="10.0"/>
      <color rgb="FFFFFFFF"/>
      <name val="Arial"/>
    </font>
    <font>
      <sz val="10.0"/>
      <color theme="1"/>
      <name val="Arial"/>
    </font>
    <font>
      <i/>
      <sz val="10.0"/>
      <color theme="1"/>
      <name val="Arial"/>
    </font>
    <font>
      <b/>
      <sz val="11.0"/>
      <color rgb="FF1A2744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A2744"/>
        <bgColor rgb="FF1A2744"/>
      </patternFill>
    </fill>
    <fill>
      <patternFill patternType="solid">
        <fgColor rgb="FFEFEDE8"/>
        <bgColor rgb="FFEFEDE8"/>
      </patternFill>
    </fill>
    <fill>
      <patternFill patternType="solid">
        <fgColor rgb="FFFFF2CC"/>
        <bgColor rgb="FFFFF2CC"/>
      </patternFill>
    </fill>
    <fill>
      <patternFill patternType="solid">
        <fgColor rgb="FFE8EEF5"/>
        <bgColor rgb="FFE8EEF5"/>
      </patternFill>
    </fill>
  </fills>
  <borders count="2">
    <border/>
    <border>
      <left style="thin">
        <color rgb="FFC9C4BA"/>
      </left>
      <right style="thin">
        <color rgb="FFC9C4BA"/>
      </right>
      <top style="thin">
        <color rgb="FFC9C4BA"/>
      </top>
      <bottom style="thin">
        <color rgb="FFC9C4BA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shrinkToFit="0" vertical="center" wrapText="1"/>
    </xf>
    <xf borderId="1" fillId="0" fontId="4" numFmtId="0" xfId="0" applyAlignment="1" applyBorder="1" applyFont="1">
      <alignment shrinkToFit="0" vertical="top" wrapText="1"/>
    </xf>
    <xf borderId="1" fillId="3" fontId="4" numFmtId="0" xfId="0" applyAlignment="1" applyBorder="1" applyFill="1" applyFont="1">
      <alignment shrinkToFit="0" vertical="top" wrapText="1"/>
    </xf>
    <xf borderId="1" fillId="4" fontId="4" numFmtId="0" xfId="0" applyAlignment="1" applyBorder="1" applyFill="1" applyFont="1">
      <alignment shrinkToFit="0" vertical="top" wrapText="1"/>
    </xf>
    <xf borderId="1" fillId="5" fontId="5" numFmtId="0" xfId="0" applyAlignment="1" applyBorder="1" applyFill="1" applyFont="1">
      <alignment shrinkToFit="0" vertical="top" wrapText="1"/>
    </xf>
    <xf borderId="1" fillId="5" fontId="5" numFmtId="164" xfId="0" applyAlignment="1" applyBorder="1" applyFont="1" applyNumberFormat="1">
      <alignment shrinkToFit="0" vertical="top" wrapText="1"/>
    </xf>
    <xf borderId="1" fillId="4" fontId="4" numFmtId="165" xfId="0" applyAlignment="1" applyBorder="1" applyFont="1" applyNumberFormat="1">
      <alignment shrinkToFit="0" vertical="top" wrapText="1"/>
    </xf>
    <xf borderId="1" fillId="4" fontId="4" numFmtId="164" xfId="0" applyAlignment="1" applyBorder="1" applyFont="1" applyNumberFormat="1">
      <alignment shrinkToFit="0" vertical="top" wrapText="1"/>
    </xf>
    <xf borderId="0" fillId="0" fontId="6" numFmtId="0" xfId="0" applyFont="1"/>
    <xf borderId="0" fillId="0" fontId="7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4.0" topLeftCell="C5" activePane="bottomRight" state="frozen"/>
      <selection activeCell="C1" sqref="C1" pane="topRight"/>
      <selection activeCell="A5" sqref="A5" pane="bottomLeft"/>
      <selection activeCell="C5" sqref="C5" pane="bottomRight"/>
    </sheetView>
  </sheetViews>
  <sheetFormatPr customHeight="1" defaultColWidth="14.43" defaultRowHeight="15.0"/>
  <cols>
    <col customWidth="1" min="1" max="1" width="4.0"/>
    <col customWidth="1" min="2" max="2" width="24.0"/>
    <col customWidth="1" min="3" max="3" width="14.0"/>
    <col customWidth="1" min="4" max="4" width="13.0"/>
    <col customWidth="1" min="5" max="5" width="22.0"/>
    <col customWidth="1" min="6" max="6" width="12.0"/>
    <col customWidth="1" min="7" max="7" width="11.0"/>
    <col customWidth="1" min="8" max="8" width="14.0"/>
    <col customWidth="1" min="9" max="9" width="20.0"/>
    <col customWidth="1" min="10" max="10" width="14.0"/>
    <col customWidth="1" min="11" max="11" width="10.0"/>
    <col customWidth="1" min="12" max="12" width="16.0"/>
    <col customWidth="1" min="13" max="14" width="12.0"/>
    <col customWidth="1" min="15" max="15" width="14.0"/>
    <col customWidth="1" min="16" max="16" width="11.0"/>
    <col customWidth="1" min="17" max="17" width="15.0"/>
    <col customWidth="1" min="18" max="18" width="13.0"/>
    <col customWidth="1" min="19" max="19" width="10.0"/>
    <col customWidth="1" min="20" max="26" width="8.71"/>
  </cols>
  <sheetData>
    <row r="1">
      <c r="A1" s="1" t="s">
        <v>0</v>
      </c>
    </row>
    <row r="2">
      <c r="A2" s="2" t="s">
        <v>2</v>
      </c>
    </row>
    <row r="4">
      <c r="A4" s="3" t="s">
        <v>4</v>
      </c>
      <c r="B4" s="3" t="s">
        <v>6</v>
      </c>
      <c r="C4" s="3" t="s">
        <v>8</v>
      </c>
      <c r="D4" s="3" t="s">
        <v>10</v>
      </c>
      <c r="E4" s="3" t="s">
        <v>12</v>
      </c>
      <c r="F4" s="3" t="s">
        <v>14</v>
      </c>
      <c r="G4" s="3" t="s">
        <v>16</v>
      </c>
      <c r="H4" s="3" t="s">
        <v>17</v>
      </c>
      <c r="I4" s="3" t="s">
        <v>18</v>
      </c>
      <c r="J4" s="3" t="s">
        <v>20</v>
      </c>
      <c r="K4" s="3" t="s">
        <v>22</v>
      </c>
      <c r="L4" s="3" t="s">
        <v>24</v>
      </c>
      <c r="M4" s="3" t="s">
        <v>25</v>
      </c>
      <c r="N4" s="3" t="s">
        <v>26</v>
      </c>
      <c r="O4" s="3" t="s">
        <v>27</v>
      </c>
      <c r="P4" s="3" t="s">
        <v>29</v>
      </c>
      <c r="Q4" s="3" t="s">
        <v>31</v>
      </c>
      <c r="R4" s="3" t="s">
        <v>32</v>
      </c>
      <c r="S4" s="3" t="s">
        <v>33</v>
      </c>
    </row>
    <row r="5">
      <c r="A5" s="7" t="s">
        <v>36</v>
      </c>
      <c r="B5" s="7" t="s">
        <v>41</v>
      </c>
      <c r="C5" s="7" t="s">
        <v>42</v>
      </c>
      <c r="D5" s="7" t="s">
        <v>43</v>
      </c>
      <c r="E5" s="7" t="s">
        <v>44</v>
      </c>
      <c r="F5" s="7" t="s">
        <v>46</v>
      </c>
      <c r="G5" s="7" t="s">
        <v>48</v>
      </c>
      <c r="H5" s="7" t="s">
        <v>49</v>
      </c>
      <c r="I5" s="7" t="s">
        <v>50</v>
      </c>
      <c r="J5" s="7" t="s">
        <v>51</v>
      </c>
      <c r="K5" s="7" t="s">
        <v>52</v>
      </c>
      <c r="L5" s="7" t="s">
        <v>54</v>
      </c>
      <c r="M5" s="7">
        <v>6.8</v>
      </c>
      <c r="N5" s="7">
        <v>44.95</v>
      </c>
      <c r="O5" s="7">
        <v>34.95</v>
      </c>
      <c r="P5" s="8">
        <f t="shared" ref="P5:P17" si="1">IFERROR((N5-M5)/N5,"")</f>
        <v>0.8487208009</v>
      </c>
      <c r="Q5" s="7" t="s">
        <v>65</v>
      </c>
      <c r="R5" s="7" t="s">
        <v>66</v>
      </c>
      <c r="S5" s="7" t="s">
        <v>67</v>
      </c>
    </row>
    <row r="6">
      <c r="A6" s="4">
        <v>1.0</v>
      </c>
      <c r="B6" s="4" t="s">
        <v>68</v>
      </c>
      <c r="C6" s="4" t="s">
        <v>42</v>
      </c>
      <c r="D6" s="4" t="s">
        <v>43</v>
      </c>
      <c r="E6" s="4" t="s">
        <v>69</v>
      </c>
      <c r="F6" s="6"/>
      <c r="G6" s="6"/>
      <c r="H6" s="6"/>
      <c r="I6" s="6"/>
      <c r="J6" s="6"/>
      <c r="K6" s="6"/>
      <c r="L6" s="6"/>
      <c r="M6" s="9"/>
      <c r="N6" s="9"/>
      <c r="O6" s="9"/>
      <c r="P6" s="10" t="str">
        <f t="shared" si="1"/>
        <v/>
      </c>
      <c r="Q6" s="6"/>
      <c r="R6" s="6"/>
      <c r="S6" s="6"/>
    </row>
    <row r="7">
      <c r="A7" s="4">
        <v>2.0</v>
      </c>
      <c r="B7" s="4" t="s">
        <v>71</v>
      </c>
      <c r="C7" s="4" t="s">
        <v>42</v>
      </c>
      <c r="D7" s="6" t="s">
        <v>73</v>
      </c>
      <c r="E7" s="4" t="s">
        <v>69</v>
      </c>
      <c r="F7" s="6"/>
      <c r="G7" s="6"/>
      <c r="H7" s="6"/>
      <c r="I7" s="6"/>
      <c r="J7" s="6"/>
      <c r="K7" s="6"/>
      <c r="L7" s="6"/>
      <c r="M7" s="9"/>
      <c r="N7" s="9"/>
      <c r="O7" s="9"/>
      <c r="P7" s="10" t="str">
        <f t="shared" si="1"/>
        <v/>
      </c>
      <c r="Q7" s="6"/>
      <c r="R7" s="6"/>
      <c r="S7" s="6"/>
    </row>
    <row r="8">
      <c r="A8" s="4">
        <v>3.0</v>
      </c>
      <c r="B8" s="4" t="s">
        <v>81</v>
      </c>
      <c r="C8" s="4" t="s">
        <v>42</v>
      </c>
      <c r="D8" s="6" t="s">
        <v>73</v>
      </c>
      <c r="E8" s="4" t="s">
        <v>69</v>
      </c>
      <c r="F8" s="6"/>
      <c r="G8" s="6"/>
      <c r="H8" s="6"/>
      <c r="I8" s="6"/>
      <c r="J8" s="6"/>
      <c r="K8" s="6"/>
      <c r="L8" s="6"/>
      <c r="M8" s="9"/>
      <c r="N8" s="9"/>
      <c r="O8" s="9"/>
      <c r="P8" s="10" t="str">
        <f t="shared" si="1"/>
        <v/>
      </c>
      <c r="Q8" s="6"/>
      <c r="R8" s="6"/>
      <c r="S8" s="6"/>
    </row>
    <row r="9">
      <c r="A9" s="4">
        <v>4.0</v>
      </c>
      <c r="B9" s="4" t="s">
        <v>94</v>
      </c>
      <c r="C9" s="4" t="s">
        <v>96</v>
      </c>
      <c r="D9" s="6" t="s">
        <v>73</v>
      </c>
      <c r="E9" s="4" t="s">
        <v>98</v>
      </c>
      <c r="F9" s="6"/>
      <c r="G9" s="6"/>
      <c r="H9" s="6"/>
      <c r="I9" s="6"/>
      <c r="J9" s="6"/>
      <c r="K9" s="6"/>
      <c r="L9" s="6"/>
      <c r="M9" s="9"/>
      <c r="N9" s="9"/>
      <c r="O9" s="9"/>
      <c r="P9" s="10" t="str">
        <f t="shared" si="1"/>
        <v/>
      </c>
      <c r="Q9" s="6"/>
      <c r="R9" s="6"/>
      <c r="S9" s="6"/>
    </row>
    <row r="10">
      <c r="A10" s="4">
        <v>5.0</v>
      </c>
      <c r="B10" s="4" t="s">
        <v>104</v>
      </c>
      <c r="C10" s="4" t="s">
        <v>96</v>
      </c>
      <c r="D10" s="6" t="s">
        <v>73</v>
      </c>
      <c r="E10" s="4" t="s">
        <v>105</v>
      </c>
      <c r="F10" s="6"/>
      <c r="G10" s="6"/>
      <c r="H10" s="6"/>
      <c r="I10" s="6"/>
      <c r="J10" s="6"/>
      <c r="K10" s="6"/>
      <c r="L10" s="6"/>
      <c r="M10" s="9"/>
      <c r="N10" s="9"/>
      <c r="O10" s="9"/>
      <c r="P10" s="10" t="str">
        <f t="shared" si="1"/>
        <v/>
      </c>
      <c r="Q10" s="6"/>
      <c r="R10" s="6"/>
      <c r="S10" s="6"/>
    </row>
    <row r="11">
      <c r="A11" s="4">
        <v>6.0</v>
      </c>
      <c r="B11" s="4" t="s">
        <v>111</v>
      </c>
      <c r="C11" s="4" t="s">
        <v>112</v>
      </c>
      <c r="D11" s="4" t="s">
        <v>113</v>
      </c>
      <c r="E11" s="6" t="s">
        <v>115</v>
      </c>
      <c r="F11" s="6"/>
      <c r="G11" s="6"/>
      <c r="H11" s="6"/>
      <c r="I11" s="6"/>
      <c r="J11" s="6"/>
      <c r="K11" s="6"/>
      <c r="L11" s="6"/>
      <c r="M11" s="9"/>
      <c r="N11" s="9"/>
      <c r="O11" s="9"/>
      <c r="P11" s="10" t="str">
        <f t="shared" si="1"/>
        <v/>
      </c>
      <c r="Q11" s="6"/>
      <c r="R11" s="6"/>
      <c r="S11" s="6"/>
    </row>
    <row r="12">
      <c r="A12" s="4">
        <v>7.0</v>
      </c>
      <c r="B12" s="4" t="s">
        <v>121</v>
      </c>
      <c r="C12" s="4" t="s">
        <v>122</v>
      </c>
      <c r="D12" s="4" t="s">
        <v>123</v>
      </c>
      <c r="E12" s="6" t="s">
        <v>124</v>
      </c>
      <c r="F12" s="6"/>
      <c r="G12" s="6"/>
      <c r="H12" s="6"/>
      <c r="I12" s="6"/>
      <c r="J12" s="6"/>
      <c r="K12" s="6"/>
      <c r="L12" s="6"/>
      <c r="M12" s="9"/>
      <c r="N12" s="9"/>
      <c r="O12" s="9"/>
      <c r="P12" s="10" t="str">
        <f t="shared" si="1"/>
        <v/>
      </c>
      <c r="Q12" s="6"/>
      <c r="R12" s="6"/>
      <c r="S12" s="6"/>
    </row>
    <row r="13">
      <c r="A13" s="4">
        <v>8.0</v>
      </c>
      <c r="B13" s="4" t="s">
        <v>129</v>
      </c>
      <c r="C13" s="4" t="s">
        <v>122</v>
      </c>
      <c r="D13" s="4" t="s">
        <v>132</v>
      </c>
      <c r="E13" s="6" t="s">
        <v>124</v>
      </c>
      <c r="F13" s="6"/>
      <c r="G13" s="6"/>
      <c r="H13" s="6"/>
      <c r="I13" s="6"/>
      <c r="J13" s="6"/>
      <c r="K13" s="6"/>
      <c r="L13" s="6"/>
      <c r="M13" s="9"/>
      <c r="N13" s="9"/>
      <c r="O13" s="9"/>
      <c r="P13" s="10" t="str">
        <f t="shared" si="1"/>
        <v/>
      </c>
      <c r="Q13" s="6"/>
      <c r="R13" s="6"/>
      <c r="S13" s="6"/>
    </row>
    <row r="14">
      <c r="A14" s="4">
        <v>9.0</v>
      </c>
      <c r="B14" s="4" t="s">
        <v>139</v>
      </c>
      <c r="C14" s="4" t="s">
        <v>122</v>
      </c>
      <c r="D14" s="4" t="s">
        <v>139</v>
      </c>
      <c r="E14" s="6" t="s">
        <v>124</v>
      </c>
      <c r="F14" s="6"/>
      <c r="G14" s="6"/>
      <c r="H14" s="6"/>
      <c r="I14" s="6"/>
      <c r="J14" s="6"/>
      <c r="K14" s="6"/>
      <c r="L14" s="6"/>
      <c r="M14" s="9"/>
      <c r="N14" s="9"/>
      <c r="O14" s="9"/>
      <c r="P14" s="10" t="str">
        <f t="shared" si="1"/>
        <v/>
      </c>
      <c r="Q14" s="6"/>
      <c r="R14" s="6"/>
      <c r="S14" s="6"/>
    </row>
    <row r="15">
      <c r="A15" s="4">
        <v>10.0</v>
      </c>
      <c r="B15" s="4" t="s">
        <v>147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9"/>
      <c r="N15" s="9"/>
      <c r="O15" s="9"/>
      <c r="P15" s="10" t="str">
        <f t="shared" si="1"/>
        <v/>
      </c>
      <c r="Q15" s="6"/>
      <c r="R15" s="6"/>
      <c r="S15" s="6"/>
    </row>
    <row r="16">
      <c r="A16" s="4">
        <v>11.0</v>
      </c>
      <c r="B16" s="4" t="s">
        <v>147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9"/>
      <c r="N16" s="9"/>
      <c r="O16" s="9"/>
      <c r="P16" s="10" t="str">
        <f t="shared" si="1"/>
        <v/>
      </c>
      <c r="Q16" s="6"/>
      <c r="R16" s="6"/>
      <c r="S16" s="6"/>
    </row>
    <row r="17">
      <c r="A17" s="4">
        <v>12.0</v>
      </c>
      <c r="B17" s="4" t="s">
        <v>147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9"/>
      <c r="N17" s="9"/>
      <c r="O17" s="9"/>
      <c r="P17" s="10" t="str">
        <f t="shared" si="1"/>
        <v/>
      </c>
      <c r="Q17" s="6"/>
      <c r="R17" s="6"/>
      <c r="S17" s="6"/>
    </row>
    <row r="19">
      <c r="B19" s="12" t="s">
        <v>149</v>
      </c>
      <c r="C19" s="2" t="s">
        <v>151</v>
      </c>
    </row>
    <row r="20">
      <c r="B20" s="12" t="s">
        <v>152</v>
      </c>
      <c r="C20" s="2" t="s">
        <v>153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headerFooter>
    <oddHeader>&amp;L GFTO Product Facts Punch List — Working Brief v2 Review · July 2026</oddHeader>
    <oddFooter>&amp;R Page &amp;P of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4.0"/>
    <col customWidth="1" min="2" max="2" width="22.0"/>
    <col customWidth="1" min="3" max="3" width="52.0"/>
    <col customWidth="1" min="4" max="4" width="42.0"/>
    <col customWidth="1" min="5" max="5" width="32.0"/>
    <col customWidth="1" min="6" max="6" width="14.0"/>
    <col customWidth="1" min="7" max="7" width="13.0"/>
    <col customWidth="1" min="8" max="26" width="8.71"/>
  </cols>
  <sheetData>
    <row r="1">
      <c r="A1" s="1" t="s">
        <v>1</v>
      </c>
    </row>
    <row r="2">
      <c r="A2" s="2" t="s">
        <v>3</v>
      </c>
    </row>
    <row r="4">
      <c r="A4" s="3" t="s">
        <v>4</v>
      </c>
      <c r="B4" s="3" t="s">
        <v>5</v>
      </c>
      <c r="C4" s="3" t="s">
        <v>7</v>
      </c>
      <c r="D4" s="3" t="s">
        <v>9</v>
      </c>
      <c r="E4" s="3" t="s">
        <v>11</v>
      </c>
      <c r="F4" s="3" t="s">
        <v>13</v>
      </c>
      <c r="G4" s="3" t="s">
        <v>15</v>
      </c>
    </row>
    <row r="5">
      <c r="A5" s="4">
        <v>1.0</v>
      </c>
      <c r="B5" s="4" t="s">
        <v>19</v>
      </c>
      <c r="C5" s="4" t="s">
        <v>21</v>
      </c>
      <c r="D5" s="5" t="s">
        <v>23</v>
      </c>
      <c r="E5" s="6"/>
      <c r="F5" s="4" t="s">
        <v>28</v>
      </c>
      <c r="G5" s="4" t="s">
        <v>30</v>
      </c>
    </row>
    <row r="6">
      <c r="A6" s="4">
        <v>2.0</v>
      </c>
      <c r="B6" s="4" t="s">
        <v>19</v>
      </c>
      <c r="C6" s="4" t="s">
        <v>34</v>
      </c>
      <c r="D6" s="5" t="s">
        <v>35</v>
      </c>
      <c r="E6" s="6"/>
      <c r="F6" s="4" t="s">
        <v>28</v>
      </c>
      <c r="G6" s="4" t="s">
        <v>37</v>
      </c>
    </row>
    <row r="7">
      <c r="A7" s="4">
        <v>3.0</v>
      </c>
      <c r="B7" s="4" t="s">
        <v>19</v>
      </c>
      <c r="C7" s="4" t="s">
        <v>38</v>
      </c>
      <c r="D7" s="5" t="s">
        <v>39</v>
      </c>
      <c r="E7" s="6"/>
      <c r="F7" s="4" t="s">
        <v>40</v>
      </c>
      <c r="G7" s="4" t="s">
        <v>37</v>
      </c>
    </row>
    <row r="8">
      <c r="A8" s="4">
        <v>4.0</v>
      </c>
      <c r="B8" s="4" t="s">
        <v>19</v>
      </c>
      <c r="C8" s="4" t="s">
        <v>45</v>
      </c>
      <c r="D8" s="5" t="s">
        <v>47</v>
      </c>
      <c r="E8" s="6"/>
      <c r="F8" s="4" t="s">
        <v>28</v>
      </c>
      <c r="G8" s="4" t="s">
        <v>30</v>
      </c>
    </row>
    <row r="9">
      <c r="A9" s="4">
        <v>5.0</v>
      </c>
      <c r="B9" s="4" t="s">
        <v>19</v>
      </c>
      <c r="C9" s="4" t="s">
        <v>53</v>
      </c>
      <c r="D9" s="5" t="s">
        <v>55</v>
      </c>
      <c r="E9" s="6"/>
      <c r="F9" s="4" t="s">
        <v>28</v>
      </c>
      <c r="G9" s="4" t="s">
        <v>56</v>
      </c>
    </row>
    <row r="10">
      <c r="A10" s="4">
        <v>6.0</v>
      </c>
      <c r="B10" s="4" t="s">
        <v>57</v>
      </c>
      <c r="C10" s="4" t="s">
        <v>58</v>
      </c>
      <c r="D10" s="5" t="s">
        <v>59</v>
      </c>
      <c r="E10" s="6"/>
      <c r="F10" s="4" t="s">
        <v>28</v>
      </c>
      <c r="G10" s="4" t="s">
        <v>37</v>
      </c>
    </row>
    <row r="11">
      <c r="A11" s="4">
        <v>7.0</v>
      </c>
      <c r="B11" s="4" t="s">
        <v>57</v>
      </c>
      <c r="C11" s="4" t="s">
        <v>60</v>
      </c>
      <c r="D11" s="5" t="s">
        <v>61</v>
      </c>
      <c r="E11" s="6"/>
      <c r="F11" s="4" t="s">
        <v>28</v>
      </c>
      <c r="G11" s="4" t="s">
        <v>37</v>
      </c>
    </row>
    <row r="12">
      <c r="A12" s="4">
        <v>8.0</v>
      </c>
      <c r="B12" s="4" t="s">
        <v>57</v>
      </c>
      <c r="C12" s="4" t="s">
        <v>62</v>
      </c>
      <c r="D12" s="5" t="s">
        <v>63</v>
      </c>
      <c r="E12" s="6"/>
      <c r="F12" s="4" t="s">
        <v>64</v>
      </c>
      <c r="G12" s="4" t="s">
        <v>37</v>
      </c>
    </row>
    <row r="13">
      <c r="A13" s="4">
        <v>9.0</v>
      </c>
      <c r="B13" s="4" t="s">
        <v>57</v>
      </c>
      <c r="C13" s="4" t="s">
        <v>70</v>
      </c>
      <c r="D13" s="5" t="s">
        <v>61</v>
      </c>
      <c r="E13" s="6"/>
      <c r="F13" s="4" t="s">
        <v>64</v>
      </c>
      <c r="G13" s="4" t="s">
        <v>37</v>
      </c>
    </row>
    <row r="14">
      <c r="A14" s="4">
        <v>10.0</v>
      </c>
      <c r="B14" s="4" t="s">
        <v>57</v>
      </c>
      <c r="C14" s="4" t="s">
        <v>72</v>
      </c>
      <c r="D14" s="5" t="s">
        <v>74</v>
      </c>
      <c r="E14" s="6"/>
      <c r="F14" s="4" t="s">
        <v>64</v>
      </c>
      <c r="G14" s="4" t="s">
        <v>30</v>
      </c>
    </row>
    <row r="15">
      <c r="A15" s="4">
        <v>11.0</v>
      </c>
      <c r="B15" s="4" t="s">
        <v>75</v>
      </c>
      <c r="C15" s="4" t="s">
        <v>76</v>
      </c>
      <c r="D15" s="5" t="s">
        <v>77</v>
      </c>
      <c r="E15" s="6"/>
      <c r="F15" s="4" t="s">
        <v>28</v>
      </c>
      <c r="G15" s="4" t="s">
        <v>78</v>
      </c>
    </row>
    <row r="16">
      <c r="A16" s="4">
        <v>12.0</v>
      </c>
      <c r="B16" s="4" t="s">
        <v>75</v>
      </c>
      <c r="C16" s="4" t="s">
        <v>79</v>
      </c>
      <c r="D16" s="5" t="s">
        <v>80</v>
      </c>
      <c r="E16" s="6"/>
      <c r="F16" s="4" t="s">
        <v>28</v>
      </c>
      <c r="G16" s="4" t="s">
        <v>78</v>
      </c>
    </row>
    <row r="17">
      <c r="A17" s="4">
        <v>13.0</v>
      </c>
      <c r="B17" s="4" t="s">
        <v>75</v>
      </c>
      <c r="C17" s="4" t="s">
        <v>82</v>
      </c>
      <c r="D17" s="5" t="s">
        <v>83</v>
      </c>
      <c r="E17" s="6"/>
      <c r="F17" s="4" t="s">
        <v>84</v>
      </c>
      <c r="G17" s="4" t="s">
        <v>85</v>
      </c>
    </row>
    <row r="18">
      <c r="A18" s="4">
        <v>14.0</v>
      </c>
      <c r="B18" s="4" t="s">
        <v>75</v>
      </c>
      <c r="C18" s="4" t="s">
        <v>86</v>
      </c>
      <c r="D18" s="5" t="s">
        <v>87</v>
      </c>
      <c r="E18" s="6"/>
      <c r="F18" s="4" t="s">
        <v>84</v>
      </c>
      <c r="G18" s="4" t="s">
        <v>88</v>
      </c>
    </row>
    <row r="19">
      <c r="A19" s="4">
        <v>15.0</v>
      </c>
      <c r="B19" s="4" t="s">
        <v>75</v>
      </c>
      <c r="C19" s="4" t="s">
        <v>89</v>
      </c>
      <c r="D19" s="5" t="s">
        <v>61</v>
      </c>
      <c r="E19" s="6"/>
      <c r="F19" s="4" t="s">
        <v>28</v>
      </c>
      <c r="G19" s="4" t="s">
        <v>37</v>
      </c>
    </row>
    <row r="20">
      <c r="A20" s="4">
        <v>16.0</v>
      </c>
      <c r="B20" s="4" t="s">
        <v>75</v>
      </c>
      <c r="C20" s="4" t="s">
        <v>90</v>
      </c>
      <c r="D20" s="5" t="s">
        <v>91</v>
      </c>
      <c r="E20" s="6"/>
      <c r="F20" s="4" t="s">
        <v>28</v>
      </c>
      <c r="G20" s="4" t="s">
        <v>92</v>
      </c>
    </row>
    <row r="21" ht="15.75" customHeight="1">
      <c r="A21" s="4">
        <v>17.0</v>
      </c>
      <c r="B21" s="4" t="s">
        <v>93</v>
      </c>
      <c r="C21" s="4" t="s">
        <v>95</v>
      </c>
      <c r="D21" s="5" t="s">
        <v>97</v>
      </c>
      <c r="E21" s="6"/>
      <c r="F21" s="4" t="s">
        <v>28</v>
      </c>
      <c r="G21" s="4" t="s">
        <v>88</v>
      </c>
    </row>
    <row r="22" ht="15.75" customHeight="1">
      <c r="A22" s="4">
        <v>18.0</v>
      </c>
      <c r="B22" s="4" t="s">
        <v>93</v>
      </c>
      <c r="C22" s="4" t="s">
        <v>99</v>
      </c>
      <c r="D22" s="5" t="s">
        <v>100</v>
      </c>
      <c r="E22" s="6"/>
      <c r="F22" s="4" t="s">
        <v>64</v>
      </c>
      <c r="G22" s="4" t="s">
        <v>101</v>
      </c>
    </row>
    <row r="23" ht="15.75" customHeight="1">
      <c r="A23" s="4">
        <v>19.0</v>
      </c>
      <c r="B23" s="4" t="s">
        <v>93</v>
      </c>
      <c r="C23" s="4" t="s">
        <v>102</v>
      </c>
      <c r="D23" s="5" t="s">
        <v>103</v>
      </c>
      <c r="E23" s="6"/>
      <c r="F23" s="4" t="s">
        <v>64</v>
      </c>
      <c r="G23" s="4" t="s">
        <v>88</v>
      </c>
    </row>
    <row r="24" ht="15.75" customHeight="1">
      <c r="A24" s="4">
        <v>20.0</v>
      </c>
      <c r="B24" s="4" t="s">
        <v>93</v>
      </c>
      <c r="C24" s="4" t="s">
        <v>106</v>
      </c>
      <c r="D24" s="5" t="s">
        <v>107</v>
      </c>
      <c r="E24" s="6"/>
      <c r="F24" s="4" t="s">
        <v>84</v>
      </c>
      <c r="G24" s="4" t="s">
        <v>37</v>
      </c>
    </row>
    <row r="25" ht="15.75" customHeight="1">
      <c r="A25" s="4">
        <v>21.0</v>
      </c>
      <c r="B25" s="4" t="s">
        <v>93</v>
      </c>
      <c r="C25" s="4" t="s">
        <v>108</v>
      </c>
      <c r="D25" s="5" t="s">
        <v>109</v>
      </c>
      <c r="E25" s="6"/>
      <c r="F25" s="4" t="s">
        <v>28</v>
      </c>
      <c r="G25" s="4" t="s">
        <v>92</v>
      </c>
    </row>
    <row r="26" ht="15.75" customHeight="1">
      <c r="A26" s="4">
        <v>22.0</v>
      </c>
      <c r="B26" s="4" t="s">
        <v>93</v>
      </c>
      <c r="C26" s="4" t="s">
        <v>110</v>
      </c>
      <c r="D26" s="5" t="s">
        <v>35</v>
      </c>
      <c r="E26" s="6"/>
      <c r="F26" s="4" t="s">
        <v>114</v>
      </c>
      <c r="G26" s="4" t="s">
        <v>92</v>
      </c>
    </row>
    <row r="27" ht="15.75" customHeight="1">
      <c r="A27" s="4">
        <v>23.0</v>
      </c>
      <c r="B27" s="4" t="s">
        <v>93</v>
      </c>
      <c r="C27" s="4" t="s">
        <v>116</v>
      </c>
      <c r="D27" s="5" t="s">
        <v>117</v>
      </c>
      <c r="E27" s="6"/>
      <c r="F27" s="4" t="s">
        <v>64</v>
      </c>
      <c r="G27" s="4" t="s">
        <v>92</v>
      </c>
    </row>
    <row r="28" ht="15.75" customHeight="1">
      <c r="A28" s="4">
        <v>24.0</v>
      </c>
      <c r="B28" s="4" t="s">
        <v>118</v>
      </c>
      <c r="C28" s="4" t="s">
        <v>119</v>
      </c>
      <c r="D28" s="5" t="s">
        <v>120</v>
      </c>
      <c r="E28" s="6"/>
      <c r="F28" s="4" t="s">
        <v>28</v>
      </c>
      <c r="G28" s="4" t="s">
        <v>37</v>
      </c>
    </row>
    <row r="29" ht="15.75" customHeight="1">
      <c r="A29" s="4">
        <v>25.0</v>
      </c>
      <c r="B29" s="4" t="s">
        <v>118</v>
      </c>
      <c r="C29" s="4" t="s">
        <v>125</v>
      </c>
      <c r="D29" s="5" t="s">
        <v>61</v>
      </c>
      <c r="E29" s="6"/>
      <c r="F29" s="4" t="s">
        <v>64</v>
      </c>
      <c r="G29" s="4" t="s">
        <v>37</v>
      </c>
    </row>
    <row r="30" ht="15.75" customHeight="1">
      <c r="A30" s="4">
        <v>26.0</v>
      </c>
      <c r="B30" s="4" t="s">
        <v>118</v>
      </c>
      <c r="C30" s="4" t="s">
        <v>126</v>
      </c>
      <c r="D30" s="5" t="s">
        <v>127</v>
      </c>
      <c r="E30" s="6"/>
      <c r="F30" s="4" t="s">
        <v>28</v>
      </c>
      <c r="G30" s="4" t="s">
        <v>128</v>
      </c>
    </row>
    <row r="31" ht="15.75" customHeight="1">
      <c r="A31" s="4">
        <v>27.0</v>
      </c>
      <c r="B31" s="4" t="s">
        <v>130</v>
      </c>
      <c r="C31" s="4" t="s">
        <v>131</v>
      </c>
      <c r="D31" s="5" t="s">
        <v>133</v>
      </c>
      <c r="E31" s="6"/>
      <c r="F31" s="4" t="s">
        <v>84</v>
      </c>
      <c r="G31" s="4" t="s">
        <v>92</v>
      </c>
    </row>
    <row r="32" ht="15.75" customHeight="1">
      <c r="A32" s="4">
        <v>28.0</v>
      </c>
      <c r="B32" s="4" t="s">
        <v>130</v>
      </c>
      <c r="C32" s="4" t="s">
        <v>134</v>
      </c>
      <c r="D32" s="5" t="s">
        <v>135</v>
      </c>
      <c r="E32" s="6"/>
      <c r="F32" s="4" t="s">
        <v>84</v>
      </c>
      <c r="G32" s="4" t="s">
        <v>92</v>
      </c>
    </row>
    <row r="33" ht="15.75" customHeight="1">
      <c r="A33" s="4">
        <v>29.0</v>
      </c>
      <c r="B33" s="4" t="s">
        <v>130</v>
      </c>
      <c r="C33" s="4" t="s">
        <v>136</v>
      </c>
      <c r="D33" s="5" t="s">
        <v>137</v>
      </c>
      <c r="E33" s="6"/>
      <c r="F33" s="4" t="s">
        <v>138</v>
      </c>
      <c r="G33" s="4" t="s">
        <v>88</v>
      </c>
    </row>
    <row r="34" ht="15.75" customHeight="1">
      <c r="A34" s="4">
        <v>30.0</v>
      </c>
      <c r="B34" s="4" t="s">
        <v>130</v>
      </c>
      <c r="C34" s="4" t="s">
        <v>140</v>
      </c>
      <c r="D34" s="5" t="s">
        <v>141</v>
      </c>
      <c r="E34" s="6"/>
      <c r="F34" s="4" t="s">
        <v>142</v>
      </c>
      <c r="G34" s="4" t="s">
        <v>56</v>
      </c>
    </row>
    <row r="35" ht="15.75" customHeight="1">
      <c r="A35" s="4">
        <v>31.0</v>
      </c>
      <c r="B35" s="4" t="s">
        <v>130</v>
      </c>
      <c r="C35" s="4" t="s">
        <v>143</v>
      </c>
      <c r="D35" s="5" t="s">
        <v>144</v>
      </c>
      <c r="E35" s="6"/>
      <c r="F35" s="4" t="s">
        <v>84</v>
      </c>
      <c r="G35" s="4" t="s">
        <v>101</v>
      </c>
    </row>
    <row r="36" ht="15.75" customHeight="1"/>
    <row r="37" ht="15.75" customHeight="1">
      <c r="B37" s="11" t="s">
        <v>145</v>
      </c>
    </row>
    <row r="38" ht="15.75" customHeight="1">
      <c r="B38" s="12" t="s">
        <v>146</v>
      </c>
      <c r="C38" s="13">
        <f>COUNTA(C5:C35)</f>
        <v>31</v>
      </c>
    </row>
    <row r="39" ht="15.75" customHeight="1">
      <c r="B39" s="12" t="s">
        <v>148</v>
      </c>
      <c r="C39" s="13">
        <f>COUNTBLANK(E5:E35)</f>
        <v>31</v>
      </c>
    </row>
    <row r="40" ht="15.75" customHeight="1"/>
    <row r="41" ht="15.75" customHeight="1">
      <c r="B41" s="12" t="s">
        <v>149</v>
      </c>
      <c r="C41" s="2" t="s">
        <v>150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4:$G$35"/>
  <printOptions/>
  <pageMargins bottom="1.0" footer="0.0" header="0.0" left="0.75" right="0.75" top="1.0"/>
  <pageSetup fitToHeight="0" orientation="landscape"/>
  <headerFooter>
    <oddHeader>&amp;L GFTO Business Finance Facts Punch List — Working Brief v2 Review · July 2026</oddHeader>
    <oddFooter>&amp;R Page &amp;P of </oddFooter>
  </headerFooter>
  <drawing r:id="rId1"/>
</worksheet>
</file>